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Music\"/>
    </mc:Choice>
  </mc:AlternateContent>
  <xr:revisionPtr revIDLastSave="0" documentId="13_ncr:1_{6671D2A2-889E-4991-B15E-4E39F7D871F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ENU" sheetId="1" r:id="rId1"/>
    <sheet name="MASTERKAIN" sheetId="2" r:id="rId2"/>
    <sheet name="KAINMASUK" sheetId="3" r:id="rId3"/>
    <sheet name="KAINKELUAR" sheetId="4" r:id="rId4"/>
    <sheet name="CARIKAIN" sheetId="5" r:id="rId5"/>
    <sheet name="LAPORANMASUK" sheetId="6" r:id="rId6"/>
    <sheet name="LAPORANKELUAR" sheetId="7" r:id="rId7"/>
  </sheets>
  <definedNames>
    <definedName name="_xlnm._FilterDatabase" localSheetId="3" hidden="1">KAINKELUAR!$A$3:$H$10</definedName>
    <definedName name="_xlnm._FilterDatabase" localSheetId="2" hidden="1">KAINMASUK!$A$3:$H$13</definedName>
    <definedName name="_xlnm._FilterDatabase" localSheetId="1" hidden="1">MASTERKAIN!$A$3:$G$11</definedName>
    <definedName name="_xlnm.Criteria" localSheetId="4">CARIKAIN!$I$1:$I$2</definedName>
    <definedName name="_xlnm.Criteria" localSheetId="6">LAPORANKELUAR!$J$1:$J$2</definedName>
    <definedName name="_xlnm.Criteria" localSheetId="5">LAPORANMASUK!$L$1:$M$2</definedName>
    <definedName name="_xlnm.Criteria" localSheetId="1">MASTERKAIN!$I$3:$I$4</definedName>
    <definedName name="_xlnm.Extract" localSheetId="4">CARIKAIN!$A$1:$G$1</definedName>
    <definedName name="_xlnm.Extract" localSheetId="6">LAPORANKELUAR!$A$1:$H$1</definedName>
    <definedName name="_xlnm.Extract" localSheetId="5">LAPORANMASUK!$A$1:$H$1</definedName>
    <definedName name="_xlnm.Extract" localSheetId="1">MASTERKAIN!$K$3:$Q$3</definedName>
    <definedName name="_xlnm.Print_Area" localSheetId="6">LAPORANKELUAR!$A:$H</definedName>
    <definedName name="_xlnm.Print_Area" localSheetId="5">LAPORANMASUK!$A:$H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3" l="1"/>
  <c r="A12" i="3"/>
  <c r="A11" i="3"/>
  <c r="A10" i="4"/>
  <c r="A9" i="4"/>
  <c r="A10" i="3"/>
  <c r="A11" i="2"/>
  <c r="A8" i="4"/>
  <c r="A7" i="4"/>
  <c r="A6" i="4"/>
  <c r="A5" i="4"/>
  <c r="A4" i="4"/>
  <c r="I4" i="2"/>
  <c r="J2" i="4"/>
  <c r="A9" i="3"/>
  <c r="A8" i="3"/>
  <c r="A7" i="3"/>
  <c r="A6" i="3"/>
  <c r="A5" i="3"/>
  <c r="A4" i="3"/>
  <c r="A10" i="2"/>
  <c r="A9" i="2"/>
  <c r="A8" i="2"/>
  <c r="A7" i="2"/>
  <c r="A6" i="2"/>
  <c r="A5" i="2"/>
  <c r="A4" i="2"/>
  <c r="J2" i="3"/>
  <c r="AA8" i="1"/>
  <c r="AA7" i="1"/>
  <c r="AA16" i="1" l="1"/>
  <c r="AA15" i="1"/>
  <c r="AA12" i="1"/>
  <c r="AA11" i="1"/>
</calcChain>
</file>

<file path=xl/sharedStrings.xml><?xml version="1.0" encoding="utf-8"?>
<sst xmlns="http://schemas.openxmlformats.org/spreadsheetml/2006/main" count="286" uniqueCount="74">
  <si>
    <t>No</t>
  </si>
  <si>
    <t>Stok</t>
  </si>
  <si>
    <t>ID Transaksi</t>
  </si>
  <si>
    <t>Tanggal</t>
  </si>
  <si>
    <t>Jumlah Masuk</t>
  </si>
  <si>
    <t>Kode Otomatis</t>
  </si>
  <si>
    <t>Jumlah Barang</t>
  </si>
  <si>
    <t>Tabel Rekapitulasi</t>
  </si>
  <si>
    <t>Barang Masuk</t>
  </si>
  <si>
    <t>Jumlah Transaksi</t>
  </si>
  <si>
    <t>Jumlah Item</t>
  </si>
  <si>
    <t>Barang Keluar</t>
  </si>
  <si>
    <t>Data Barang</t>
  </si>
  <si>
    <t>Total Item</t>
  </si>
  <si>
    <t>Jumlah</t>
  </si>
  <si>
    <t>Corak Kain</t>
  </si>
  <si>
    <t>Jenis Benang</t>
  </si>
  <si>
    <t>Kontruksi</t>
  </si>
  <si>
    <t>Komposisi</t>
  </si>
  <si>
    <t>*  Masukan stok kain yang quntity dibawah</t>
  </si>
  <si>
    <t xml:space="preserve">100% COTTON </t>
  </si>
  <si>
    <t>DEV 550</t>
  </si>
  <si>
    <t>CR-K-1000002</t>
  </si>
  <si>
    <t>CR-K-1000003</t>
  </si>
  <si>
    <t>EBMG 511</t>
  </si>
  <si>
    <t xml:space="preserve">COTT 40 X COTT 40 </t>
  </si>
  <si>
    <t>68X60</t>
  </si>
  <si>
    <t>23/11/2022</t>
  </si>
  <si>
    <t>100X68</t>
  </si>
  <si>
    <t>DEV 762</t>
  </si>
  <si>
    <t xml:space="preserve">TENCEL 30 X TENCEL 30 </t>
  </si>
  <si>
    <t>120X80</t>
  </si>
  <si>
    <t xml:space="preserve">100% TENCEL </t>
  </si>
  <si>
    <t>13/12/2022</t>
  </si>
  <si>
    <t>XBT 198</t>
  </si>
  <si>
    <t>COTT 30 X RY 30</t>
  </si>
  <si>
    <t>110X68</t>
  </si>
  <si>
    <t xml:space="preserve">50% RAYON 50% COTTON </t>
  </si>
  <si>
    <t>H&amp;M 90</t>
  </si>
  <si>
    <t>RAYON 30 X RAYON 30</t>
  </si>
  <si>
    <t>90X78</t>
  </si>
  <si>
    <t xml:space="preserve">100% RAYON </t>
  </si>
  <si>
    <t>17/12/2022</t>
  </si>
  <si>
    <t xml:space="preserve">DEV 300 </t>
  </si>
  <si>
    <t>COTT 60 X COTT 60</t>
  </si>
  <si>
    <t>122X90</t>
  </si>
  <si>
    <t xml:space="preserve">DEV 600 </t>
  </si>
  <si>
    <t xml:space="preserve">RAYON 30 X RAYON 50 </t>
  </si>
  <si>
    <t>90X80</t>
  </si>
  <si>
    <t>21/01/2023</t>
  </si>
  <si>
    <t>H&amp;M 91</t>
  </si>
  <si>
    <t xml:space="preserve">RAYON 30 X RAYON 30 </t>
  </si>
  <si>
    <t>CR-M-1000004</t>
  </si>
  <si>
    <t>CR-M-1000005</t>
  </si>
  <si>
    <t>CR-M-1000006</t>
  </si>
  <si>
    <t>CR-M-1000007</t>
  </si>
  <si>
    <t>CR-M-1000009</t>
  </si>
  <si>
    <t>CR-M-1000010</t>
  </si>
  <si>
    <t>CR-K-1000004</t>
  </si>
  <si>
    <t>CR-K-1000005</t>
  </si>
  <si>
    <t>CR-K-1000006</t>
  </si>
  <si>
    <t xml:space="preserve">DEV 440 </t>
  </si>
  <si>
    <t>COTT 40 X COTT 40</t>
  </si>
  <si>
    <t>CR-M-1000011</t>
  </si>
  <si>
    <t>CR-K-1000007</t>
  </si>
  <si>
    <t>Jumlah Keluar</t>
  </si>
  <si>
    <t>CR-K-1000008</t>
  </si>
  <si>
    <t>&gt;=01/21/2023</t>
  </si>
  <si>
    <t>&lt;=01/21/2023</t>
  </si>
  <si>
    <t>CR-M-1000013</t>
  </si>
  <si>
    <t>CR-M-1000014</t>
  </si>
  <si>
    <t>CR-M-1000015</t>
  </si>
  <si>
    <t>*eb*</t>
  </si>
  <si>
    <t>*d*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</si>
</sst>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9" tint="-0.249977111117893"/>
      <name val="Calibri"/>
      <family val="2"/>
      <charset val="1"/>
      <scheme val="minor"/>
    </font>
    <font>
      <b/>
      <sz val="14"/>
      <color theme="0" tint="-0.34998626667073579"/>
      <name val="Roboto Condensed"/>
    </font>
    <font>
      <b/>
      <sz val="12"/>
      <color theme="0" tint="-0.34998626667073579"/>
      <name val="Roboto Condensed"/>
    </font>
  </fonts>
  <fills count="3">
    <fill>
      <patternFill patternType="none"/>
    </fill>
    <fill>
      <patternFill patternType="gray125"/>
    </fill>
    <fill>
      <patternFill patternType="solid">
        <fgColor rgb="FFE6EBF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medium">
        <color theme="9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0" fillId="0" borderId="0" xfId="0" applyNumberFormat="1"/>
    <xf numFmtId="0" fontId="2" fillId="0" borderId="3" xfId="0" applyFont="1" applyBorder="1" applyAlignment="1">
      <alignment horizontal="center" vertical="center"/>
    </xf>
    <xf numFmtId="0" fontId="2" fillId="0" borderId="3" xfId="0" applyFont="1" applyBorder="1"/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/>
    <xf numFmtId="9" fontId="0" fillId="2" borderId="0" xfId="0" applyNumberFormat="1" applyFill="1"/>
    <xf numFmtId="0" fontId="4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3" xfId="0" applyFont="1" applyBorder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DAB90"/>
      <color rgb="FFD2F6F2"/>
      <color rgb="FF93EDDC"/>
      <color rgb="FFFFCC99"/>
      <color rgb="FFFF99CC"/>
      <color rgb="FFE6EB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15</xdr:row>
          <xdr:rowOff>6350</xdr:rowOff>
        </xdr:from>
        <xdr:to>
          <xdr:col>18</xdr:col>
          <xdr:colOff>596900</xdr:colOff>
          <xdr:row>29</xdr:row>
          <xdr:rowOff>127000</xdr:rowOff>
        </xdr:to>
        <xdr:sp macro="" textlink="">
          <xdr:nvSpPr>
            <xdr:cNvPr id="1025" name="TABELBARA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47626</xdr:colOff>
      <xdr:row>0</xdr:row>
      <xdr:rowOff>28575</xdr:rowOff>
    </xdr:from>
    <xdr:to>
      <xdr:col>4</xdr:col>
      <xdr:colOff>581026</xdr:colOff>
      <xdr:row>2</xdr:row>
      <xdr:rowOff>133350</xdr:rowOff>
    </xdr:to>
    <xdr:pic>
      <xdr:nvPicPr>
        <xdr:cNvPr id="7" name="Graphic 6" descr="Ho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67493" y="28575"/>
          <a:ext cx="533400" cy="477308"/>
        </a:xfrm>
        <a:prstGeom prst="rect">
          <a:avLst/>
        </a:prstGeom>
      </xdr:spPr>
    </xdr:pic>
    <xdr:clientData/>
  </xdr:twoCellAnchor>
  <xdr:oneCellAnchor>
    <xdr:from>
      <xdr:col>4</xdr:col>
      <xdr:colOff>70909</xdr:colOff>
      <xdr:row>12</xdr:row>
      <xdr:rowOff>117476</xdr:rowOff>
    </xdr:from>
    <xdr:ext cx="3650487" cy="43056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390776" y="2352676"/>
          <a:ext cx="3650487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d-ID" sz="2000" b="1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DATA BARANG YANG AKAN</a:t>
          </a:r>
          <a:r>
            <a:rPr lang="id-ID" sz="2000" b="1" baseline="0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HABIS</a:t>
          </a:r>
          <a:endParaRPr lang="id-ID" sz="2000" b="1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4</xdr:col>
      <xdr:colOff>104775</xdr:colOff>
      <xdr:row>3</xdr:row>
      <xdr:rowOff>28575</xdr:rowOff>
    </xdr:from>
    <xdr:to>
      <xdr:col>23</xdr:col>
      <xdr:colOff>600075</xdr:colOff>
      <xdr:row>3</xdr:row>
      <xdr:rowOff>28575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2305050" y="600075"/>
          <a:ext cx="12077700" cy="0"/>
        </a:xfrm>
        <a:prstGeom prst="line">
          <a:avLst/>
        </a:prstGeom>
        <a:ln w="3810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523874</xdr:colOff>
      <xdr:row>0</xdr:row>
      <xdr:rowOff>76200</xdr:rowOff>
    </xdr:from>
    <xdr:ext cx="6723591" cy="400174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843741" y="76200"/>
          <a:ext cx="6723591" cy="4001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>
              <a:solidFill>
                <a:srgbClr val="0070C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APLIKASI</a:t>
          </a:r>
          <a:r>
            <a:rPr lang="en-US" sz="2000" b="1" baseline="0">
              <a:solidFill>
                <a:srgbClr val="0070C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INVENTORY KAIN DEP.KREATIF</a:t>
          </a:r>
          <a:endParaRPr lang="id-ID" sz="2000" b="1">
            <a:solidFill>
              <a:srgbClr val="0070C0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3</xdr:col>
      <xdr:colOff>0</xdr:colOff>
      <xdr:row>48</xdr:row>
      <xdr:rowOff>152399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0"/>
          <a:ext cx="2167467" cy="9135532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16</xdr:col>
      <xdr:colOff>530226</xdr:colOff>
      <xdr:row>12</xdr:row>
      <xdr:rowOff>170391</xdr:rowOff>
    </xdr:from>
    <xdr:to>
      <xdr:col>18</xdr:col>
      <xdr:colOff>592669</xdr:colOff>
      <xdr:row>14</xdr:row>
      <xdr:rowOff>160866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0555289" y="2361141"/>
          <a:ext cx="1348318" cy="355600"/>
          <a:chOff x="10096501" y="2066924"/>
          <a:chExt cx="1247776" cy="371475"/>
        </a:xfrm>
        <a:solidFill>
          <a:srgbClr val="0070C0"/>
        </a:solidFill>
      </xdr:grpSpPr>
      <xdr:sp macro="[0]!UpdateDataBArang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0096501" y="2066924"/>
            <a:ext cx="1247776" cy="371475"/>
          </a:xfrm>
          <a:prstGeom prst="roundRect">
            <a:avLst>
              <a:gd name="adj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Update Data</a:t>
            </a:r>
            <a:endParaRPr lang="id-ID" sz="1100"/>
          </a:p>
        </xdr:txBody>
      </xdr:sp>
      <xdr:pic macro="[0]!UpdateDataBArang">
        <xdr:nvPicPr>
          <xdr:cNvPr id="18" name="Graphic 17" descr="Repeat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34600" y="208597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57150</xdr:colOff>
      <xdr:row>3</xdr:row>
      <xdr:rowOff>138112</xdr:rowOff>
    </xdr:from>
    <xdr:to>
      <xdr:col>8</xdr:col>
      <xdr:colOff>342900</xdr:colOff>
      <xdr:row>10</xdr:row>
      <xdr:rowOff>100012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2366963" y="685800"/>
          <a:ext cx="2857500" cy="1239837"/>
          <a:chOff x="2257425" y="709612"/>
          <a:chExt cx="2724150" cy="12954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257425" y="709612"/>
            <a:ext cx="2724150" cy="1295400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42284" y="1009650"/>
            <a:ext cx="433388" cy="433388"/>
          </a:xfrm>
          <a:prstGeom prst="rect">
            <a:avLst/>
          </a:prstGeom>
        </xdr:spPr>
      </xdr:pic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276475" y="1390650"/>
            <a:ext cx="849293" cy="28348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rgbClr val="0070C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Kain Masuk</a:t>
            </a:r>
            <a:endParaRPr lang="id-ID" sz="1200" b="0">
              <a:solidFill>
                <a:srgbClr val="0070C0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9</xdr:col>
      <xdr:colOff>171450</xdr:colOff>
      <xdr:row>3</xdr:row>
      <xdr:rowOff>138112</xdr:rowOff>
    </xdr:from>
    <xdr:to>
      <xdr:col>13</xdr:col>
      <xdr:colOff>461962</xdr:colOff>
      <xdr:row>10</xdr:row>
      <xdr:rowOff>100012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5695950" y="685800"/>
          <a:ext cx="2862262" cy="1239837"/>
          <a:chOff x="5419725" y="709612"/>
          <a:chExt cx="2728912" cy="1295400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424487" y="709612"/>
            <a:ext cx="2724150" cy="1295400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9250" y="981941"/>
            <a:ext cx="533400" cy="533400"/>
          </a:xfrm>
          <a:prstGeom prst="rect">
            <a:avLst/>
          </a:prstGeom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5419725" y="1409700"/>
            <a:ext cx="832624" cy="28348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rgbClr val="0070C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Kain Keluar</a:t>
            </a:r>
            <a:endParaRPr lang="id-ID" sz="1200" b="0">
              <a:solidFill>
                <a:srgbClr val="0070C0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14</xdr:col>
      <xdr:colOff>285750</xdr:colOff>
      <xdr:row>3</xdr:row>
      <xdr:rowOff>138112</xdr:rowOff>
    </xdr:from>
    <xdr:to>
      <xdr:col>19</xdr:col>
      <xdr:colOff>4850</xdr:colOff>
      <xdr:row>10</xdr:row>
      <xdr:rowOff>100012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9024938" y="685800"/>
          <a:ext cx="2933787" cy="1239837"/>
          <a:chOff x="8582025" y="709612"/>
          <a:chExt cx="2767100" cy="12954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591550" y="709612"/>
            <a:ext cx="2757575" cy="1295400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10600" y="914400"/>
            <a:ext cx="571500" cy="571500"/>
          </a:xfrm>
          <a:prstGeom prst="rect">
            <a:avLst/>
          </a:prstGeom>
        </xdr:spPr>
      </xdr:pic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8582025" y="1400175"/>
            <a:ext cx="1110023" cy="28348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rgbClr val="0070C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Total Stock</a:t>
            </a:r>
            <a:r>
              <a:rPr lang="en-US" sz="1200" b="0" baseline="0">
                <a:solidFill>
                  <a:srgbClr val="0070C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 Kain</a:t>
            </a:r>
          </a:p>
        </xdr:txBody>
      </xdr:sp>
    </xdr:grpSp>
    <xdr:clientData/>
  </xdr:twoCellAnchor>
  <xdr:twoCellAnchor>
    <xdr:from>
      <xdr:col>0</xdr:col>
      <xdr:colOff>0</xdr:colOff>
      <xdr:row>9</xdr:row>
      <xdr:rowOff>29633</xdr:rowOff>
    </xdr:from>
    <xdr:to>
      <xdr:col>3</xdr:col>
      <xdr:colOff>0</xdr:colOff>
      <xdr:row>11</xdr:row>
      <xdr:rowOff>39158</xdr:rowOff>
    </xdr:to>
    <xdr:sp macro="[0]!BukaDataBarang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0" y="1706033"/>
          <a:ext cx="2167467" cy="382058"/>
        </a:xfrm>
        <a:prstGeom prst="roundRect">
          <a:avLst>
            <a:gd name="adj" fmla="val 0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Bernard MT Condensed" panose="02050806060905020404" pitchFamily="18" charset="0"/>
              <a:ea typeface="Roboto Condensed" panose="02000000000000000000" pitchFamily="2" charset="0"/>
            </a:rPr>
            <a:t>Master</a:t>
          </a:r>
          <a:r>
            <a:rPr lang="en-US" sz="1200" baseline="0">
              <a:latin typeface="Bernard MT Condensed" panose="02050806060905020404" pitchFamily="18" charset="0"/>
              <a:ea typeface="Roboto Condensed" panose="02000000000000000000" pitchFamily="2" charset="0"/>
            </a:rPr>
            <a:t> Kain</a:t>
          </a:r>
          <a:endParaRPr lang="id-ID" sz="1200">
            <a:latin typeface="Bernard MT Condensed" panose="02050806060905020404" pitchFamily="18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11</xdr:row>
      <xdr:rowOff>155576</xdr:rowOff>
    </xdr:from>
    <xdr:to>
      <xdr:col>3</xdr:col>
      <xdr:colOff>0</xdr:colOff>
      <xdr:row>13</xdr:row>
      <xdr:rowOff>165100</xdr:rowOff>
    </xdr:to>
    <xdr:sp macro="[0]!BarangMasuk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0" y="2204509"/>
          <a:ext cx="2167467" cy="382058"/>
        </a:xfrm>
        <a:prstGeom prst="roundRect">
          <a:avLst>
            <a:gd name="adj" fmla="val 0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Bernard MT Condensed" panose="02050806060905020404" pitchFamily="18" charset="0"/>
              <a:ea typeface="Roboto Condensed" panose="02000000000000000000" pitchFamily="2" charset="0"/>
            </a:rPr>
            <a:t>Input</a:t>
          </a:r>
          <a:r>
            <a:rPr lang="en-US" sz="1200" baseline="0">
              <a:latin typeface="Bernard MT Condensed" panose="02050806060905020404" pitchFamily="18" charset="0"/>
              <a:ea typeface="Roboto Condensed" panose="02000000000000000000" pitchFamily="2" charset="0"/>
            </a:rPr>
            <a:t> Kain</a:t>
          </a:r>
          <a:r>
            <a:rPr lang="en-US" sz="1200">
              <a:latin typeface="Bernard MT Condensed" panose="02050806060905020404" pitchFamily="18" charset="0"/>
              <a:ea typeface="Roboto Condensed" panose="02000000000000000000" pitchFamily="2" charset="0"/>
            </a:rPr>
            <a:t> Masuk</a:t>
          </a:r>
          <a:endParaRPr lang="id-ID" sz="1200">
            <a:latin typeface="Bernard MT Condensed" panose="02050806060905020404" pitchFamily="18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14</xdr:row>
      <xdr:rowOff>119591</xdr:rowOff>
    </xdr:from>
    <xdr:to>
      <xdr:col>3</xdr:col>
      <xdr:colOff>0</xdr:colOff>
      <xdr:row>16</xdr:row>
      <xdr:rowOff>129115</xdr:rowOff>
    </xdr:to>
    <xdr:sp macro="[0]!BarangKeluar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0" y="2727324"/>
          <a:ext cx="2167467" cy="382058"/>
        </a:xfrm>
        <a:prstGeom prst="roundRect">
          <a:avLst>
            <a:gd name="adj" fmla="val 0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Bernard MT Condensed" panose="02050806060905020404" pitchFamily="18" charset="0"/>
              <a:ea typeface="Roboto Condensed" panose="02000000000000000000" pitchFamily="2" charset="0"/>
            </a:rPr>
            <a:t>Input</a:t>
          </a:r>
          <a:r>
            <a:rPr lang="en-US" sz="1200" baseline="0">
              <a:latin typeface="Bernard MT Condensed" panose="02050806060905020404" pitchFamily="18" charset="0"/>
              <a:ea typeface="Roboto Condensed" panose="02000000000000000000" pitchFamily="2" charset="0"/>
            </a:rPr>
            <a:t> Kain</a:t>
          </a:r>
          <a:r>
            <a:rPr lang="en-US" sz="1200">
              <a:latin typeface="Bernard MT Condensed" panose="02050806060905020404" pitchFamily="18" charset="0"/>
              <a:ea typeface="Roboto Condensed" panose="02000000000000000000" pitchFamily="2" charset="0"/>
            </a:rPr>
            <a:t> Keluar</a:t>
          </a:r>
          <a:endParaRPr lang="id-ID" sz="1200">
            <a:latin typeface="Bernard MT Condensed" panose="02050806060905020404" pitchFamily="18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8466</xdr:colOff>
      <xdr:row>22</xdr:row>
      <xdr:rowOff>129117</xdr:rowOff>
    </xdr:from>
    <xdr:to>
      <xdr:col>3</xdr:col>
      <xdr:colOff>8466</xdr:colOff>
      <xdr:row>24</xdr:row>
      <xdr:rowOff>138642</xdr:rowOff>
    </xdr:to>
    <xdr:sp macro="[0]!SimpanData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8466" y="4226984"/>
          <a:ext cx="2167467" cy="382058"/>
        </a:xfrm>
        <a:prstGeom prst="roundRect">
          <a:avLst>
            <a:gd name="adj" fmla="val 0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Bernard MT Condensed" panose="02050806060905020404" pitchFamily="18" charset="0"/>
              <a:ea typeface="Roboto Condensed" panose="02000000000000000000" pitchFamily="2" charset="0"/>
            </a:rPr>
            <a:t>Simpan</a:t>
          </a:r>
          <a:endParaRPr lang="id-ID" sz="1200">
            <a:latin typeface="Bernard MT Condensed" panose="02050806060905020404" pitchFamily="18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25</xdr:row>
      <xdr:rowOff>48683</xdr:rowOff>
    </xdr:from>
    <xdr:to>
      <xdr:col>3</xdr:col>
      <xdr:colOff>0</xdr:colOff>
      <xdr:row>27</xdr:row>
      <xdr:rowOff>58209</xdr:rowOff>
    </xdr:to>
    <xdr:sp macro="[0]!Keluar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0" y="4705350"/>
          <a:ext cx="2167467" cy="382059"/>
        </a:xfrm>
        <a:prstGeom prst="roundRect">
          <a:avLst>
            <a:gd name="adj" fmla="val 0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Bernard MT Condensed" panose="02050806060905020404" pitchFamily="18" charset="0"/>
              <a:ea typeface="Roboto Condensed" panose="02000000000000000000" pitchFamily="2" charset="0"/>
            </a:rPr>
            <a:t>Keluar</a:t>
          </a:r>
          <a:endParaRPr lang="id-ID" sz="1200">
            <a:latin typeface="Bernard MT Condensed" panose="02050806060905020404" pitchFamily="18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4</xdr:col>
      <xdr:colOff>66675</xdr:colOff>
      <xdr:row>8</xdr:row>
      <xdr:rowOff>66675</xdr:rowOff>
    </xdr:from>
    <xdr:to>
      <xdr:col>8</xdr:col>
      <xdr:colOff>276225</xdr:colOff>
      <xdr:row>10</xdr:row>
      <xdr:rowOff>47625</xdr:rowOff>
    </xdr:to>
    <xdr:sp macro="" textlink="$AA$12">
      <xdr:nvSpPr>
        <xdr:cNvPr id="51" name="Rectangl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266950" y="1590675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B37A707E-5804-4C1E-96F4-BAEF395C3E9C}" type="TxLink">
            <a:rPr lang="en-US" sz="1400" b="0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algn="l"/>
            <a:t>1430</a:t>
          </a:fld>
          <a:endParaRPr lang="id-ID" sz="1400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9</xdr:col>
      <xdr:colOff>171450</xdr:colOff>
      <xdr:row>8</xdr:row>
      <xdr:rowOff>85725</xdr:rowOff>
    </xdr:from>
    <xdr:to>
      <xdr:col>13</xdr:col>
      <xdr:colOff>381000</xdr:colOff>
      <xdr:row>10</xdr:row>
      <xdr:rowOff>66675</xdr:rowOff>
    </xdr:to>
    <xdr:sp macro="" textlink="$AA$16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5419725" y="1609725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B315BF9B-E628-4DB9-9042-251AAA7D127E}" type="TxLink">
            <a:rPr lang="en-US" sz="1400" b="0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490</a:t>
          </a:fld>
          <a:endParaRPr lang="id-ID" sz="1400" b="0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14</xdr:col>
      <xdr:colOff>314325</xdr:colOff>
      <xdr:row>8</xdr:row>
      <xdr:rowOff>95250</xdr:rowOff>
    </xdr:from>
    <xdr:to>
      <xdr:col>18</xdr:col>
      <xdr:colOff>523875</xdr:colOff>
      <xdr:row>10</xdr:row>
      <xdr:rowOff>76200</xdr:rowOff>
    </xdr:to>
    <xdr:sp macro="" textlink="$AA$8">
      <xdr:nvSpPr>
        <xdr:cNvPr id="60" name="Rectangl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8610600" y="1619250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9AA36D73-F583-409F-B33D-D727B10A7D31}" type="TxLink">
            <a:rPr lang="en-US" sz="1400" b="0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850</a:t>
          </a:fld>
          <a:endParaRPr lang="id-ID" sz="1400" b="0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0</xdr:col>
      <xdr:colOff>0</xdr:colOff>
      <xdr:row>17</xdr:row>
      <xdr:rowOff>49213</xdr:rowOff>
    </xdr:from>
    <xdr:to>
      <xdr:col>3</xdr:col>
      <xdr:colOff>0</xdr:colOff>
      <xdr:row>19</xdr:row>
      <xdr:rowOff>58737</xdr:rowOff>
    </xdr:to>
    <xdr:sp macro="[0]!Datakainmasu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3152776"/>
          <a:ext cx="2159000" cy="374649"/>
        </a:xfrm>
        <a:prstGeom prst="roundRect">
          <a:avLst>
            <a:gd name="adj" fmla="val 0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Bernard MT Condensed" panose="02050806060905020404" pitchFamily="18" charset="0"/>
              <a:ea typeface="Roboto Condensed" panose="02000000000000000000" pitchFamily="2" charset="0"/>
            </a:rPr>
            <a:t>Laporan</a:t>
          </a:r>
          <a:r>
            <a:rPr lang="en-US" sz="1200" baseline="0">
              <a:latin typeface="Bernard MT Condensed" panose="02050806060905020404" pitchFamily="18" charset="0"/>
              <a:ea typeface="Roboto Condensed" panose="02000000000000000000" pitchFamily="2" charset="0"/>
            </a:rPr>
            <a:t> Kain Masuk</a:t>
          </a:r>
          <a:endParaRPr lang="id-ID" sz="1200">
            <a:latin typeface="Bernard MT Condensed" panose="02050806060905020404" pitchFamily="18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19</xdr:row>
      <xdr:rowOff>172509</xdr:rowOff>
    </xdr:from>
    <xdr:to>
      <xdr:col>3</xdr:col>
      <xdr:colOff>0</xdr:colOff>
      <xdr:row>21</xdr:row>
      <xdr:rowOff>182033</xdr:rowOff>
    </xdr:to>
    <xdr:sp macro="[0]!datakainkelu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3641197"/>
          <a:ext cx="2159000" cy="374649"/>
        </a:xfrm>
        <a:prstGeom prst="roundRect">
          <a:avLst>
            <a:gd name="adj" fmla="val 0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Bernard MT Condensed" panose="02050806060905020404" pitchFamily="18" charset="0"/>
              <a:ea typeface="Roboto Condensed" panose="02000000000000000000" pitchFamily="2" charset="0"/>
            </a:rPr>
            <a:t>Laporan</a:t>
          </a:r>
          <a:r>
            <a:rPr lang="en-US" sz="1200" baseline="0">
              <a:latin typeface="Bernard MT Condensed" panose="02050806060905020404" pitchFamily="18" charset="0"/>
              <a:ea typeface="Roboto Condensed" panose="02000000000000000000" pitchFamily="2" charset="0"/>
            </a:rPr>
            <a:t> Kain Keluar</a:t>
          </a:r>
          <a:endParaRPr lang="id-ID" sz="1200">
            <a:latin typeface="Bernard MT Condensed" panose="02050806060905020404" pitchFamily="18" charset="0"/>
            <a:ea typeface="Roboto Condensed" panose="02000000000000000000" pitchFamily="2" charset="0"/>
          </a:endParaRPr>
        </a:p>
      </xdr:txBody>
    </xdr:sp>
    <xdr:clientData/>
  </xdr:twoCellAnchor>
  <xdr:twoCellAnchor editAs="oneCell">
    <xdr:from>
      <xdr:col>0</xdr:col>
      <xdr:colOff>237067</xdr:colOff>
      <xdr:row>2</xdr:row>
      <xdr:rowOff>59266</xdr:rowOff>
    </xdr:from>
    <xdr:to>
      <xdr:col>2</xdr:col>
      <xdr:colOff>524290</xdr:colOff>
      <xdr:row>6</xdr:row>
      <xdr:rowOff>84666</xdr:rowOff>
    </xdr:to>
    <xdr:pic>
      <xdr:nvPicPr>
        <xdr:cNvPr id="10" name="Picture 9" descr="Picture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/>
        <a:srcRect l="27055" r="33371"/>
        <a:stretch>
          <a:fillRect/>
        </a:stretch>
      </xdr:blipFill>
      <xdr:spPr>
        <a:xfrm>
          <a:off x="237067" y="431799"/>
          <a:ext cx="1574156" cy="770467"/>
        </a:xfrm>
        <a:prstGeom prst="rect">
          <a:avLst/>
        </a:prstGeom>
        <a:noFill/>
        <a:ln w="9525" cmpd="sng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5:AA31"/>
  <sheetViews>
    <sheetView showGridLines="0" tabSelected="1" zoomScale="80" zoomScaleNormal="80" workbookViewId="0">
      <selection activeCell="J32" sqref="J32"/>
    </sheetView>
  </sheetViews>
  <sheetFormatPr defaultColWidth="9.1796875" defaultRowHeight="14.5" x14ac:dyDescent="0.35"/>
  <cols>
    <col min="1" max="2" width="9.1796875" style="8"/>
    <col min="3" max="3" width="12.54296875" style="8" customWidth="1"/>
    <col min="4" max="4" width="2.1796875" style="8" customWidth="1"/>
    <col min="5" max="25" width="9.1796875" style="8"/>
    <col min="26" max="26" width="17.453125" style="8" bestFit="1" customWidth="1"/>
    <col min="27" max="27" width="9.1796875" style="13"/>
    <col min="28" max="16384" width="9.1796875" style="8"/>
  </cols>
  <sheetData>
    <row r="5" spans="6:27" x14ac:dyDescent="0.35">
      <c r="Z5" s="8" t="s">
        <v>7</v>
      </c>
    </row>
    <row r="6" spans="6:27" x14ac:dyDescent="0.35">
      <c r="Z6" s="9" t="s">
        <v>12</v>
      </c>
      <c r="AA6" s="14" t="s">
        <v>14</v>
      </c>
    </row>
    <row r="7" spans="6:27" x14ac:dyDescent="0.35">
      <c r="Z7" s="9" t="s">
        <v>6</v>
      </c>
      <c r="AA7" s="14">
        <f>COUNTA(MASTERKAIN!$B$4:$B$69981)</f>
        <v>8</v>
      </c>
    </row>
    <row r="8" spans="6:27" x14ac:dyDescent="0.35">
      <c r="Z8" s="9" t="s">
        <v>13</v>
      </c>
      <c r="AA8" s="14">
        <f>SUM(MASTERKAIN!$G$4:$G$69981)</f>
        <v>850</v>
      </c>
    </row>
    <row r="10" spans="6:27" x14ac:dyDescent="0.35">
      <c r="Z10" s="9" t="s">
        <v>8</v>
      </c>
      <c r="AA10" s="14" t="s">
        <v>14</v>
      </c>
    </row>
    <row r="11" spans="6:27" x14ac:dyDescent="0.35">
      <c r="Z11" s="9" t="s">
        <v>9</v>
      </c>
      <c r="AA11" s="14">
        <f>COUNTA(KAINMASUK!$B$4:$B$59981)</f>
        <v>10</v>
      </c>
    </row>
    <row r="12" spans="6:27" x14ac:dyDescent="0.35">
      <c r="Z12" s="9" t="s">
        <v>10</v>
      </c>
      <c r="AA12" s="14">
        <f>SUM(KAINMASUK!$H$4:$H$59981)</f>
        <v>1430</v>
      </c>
    </row>
    <row r="13" spans="6:27" x14ac:dyDescent="0.35">
      <c r="F13" s="10"/>
    </row>
    <row r="14" spans="6:27" x14ac:dyDescent="0.35">
      <c r="Z14" s="9" t="s">
        <v>11</v>
      </c>
      <c r="AA14" s="14" t="s">
        <v>14</v>
      </c>
    </row>
    <row r="15" spans="6:27" x14ac:dyDescent="0.35">
      <c r="Z15" s="9" t="s">
        <v>9</v>
      </c>
      <c r="AA15" s="14">
        <f>COUNTA(KAINKELUAR!$B$4:$B$49986)</f>
        <v>7</v>
      </c>
    </row>
    <row r="16" spans="6:27" x14ac:dyDescent="0.35">
      <c r="Z16" s="9" t="s">
        <v>10</v>
      </c>
      <c r="AA16" s="14">
        <f>SUM(KAINKELUAR!$H$4:$H$49986)</f>
        <v>490</v>
      </c>
    </row>
    <row r="18" spans="5:27" x14ac:dyDescent="0.35">
      <c r="Z18" s="9"/>
      <c r="AA18" s="14"/>
    </row>
    <row r="19" spans="5:27" x14ac:dyDescent="0.35">
      <c r="Z19" s="9"/>
      <c r="AA19" s="14"/>
    </row>
    <row r="21" spans="5:27" x14ac:dyDescent="0.35">
      <c r="Z21" s="9"/>
      <c r="AA21" s="14"/>
    </row>
    <row r="22" spans="5:27" x14ac:dyDescent="0.35">
      <c r="Z22" s="9"/>
      <c r="AA22" s="14"/>
    </row>
    <row r="24" spans="5:27" x14ac:dyDescent="0.35">
      <c r="Z24" s="9"/>
      <c r="AA24" s="14"/>
    </row>
    <row r="25" spans="5:27" x14ac:dyDescent="0.35">
      <c r="Z25" s="9"/>
      <c r="AA25" s="14"/>
    </row>
    <row r="31" spans="5:27" ht="18" x14ac:dyDescent="0.35">
      <c r="E31" s="11" t="s">
        <v>19</v>
      </c>
      <c r="J31" s="12">
        <v>400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ABELBARANG">
          <controlPr defaultSize="0" autoLine="0" autoPict="0" listFillRange="MASTERKAIN!K4:Q11" r:id="rId5">
            <anchor moveWithCells="1">
              <from>
                <xdr:col>4</xdr:col>
                <xdr:colOff>31750</xdr:colOff>
                <xdr:row>15</xdr:row>
                <xdr:rowOff>6350</xdr:rowOff>
              </from>
              <to>
                <xdr:col>18</xdr:col>
                <xdr:colOff>596900</xdr:colOff>
                <xdr:row>29</xdr:row>
                <xdr:rowOff>127000</xdr:rowOff>
              </to>
            </anchor>
          </controlPr>
        </control>
      </mc:Choice>
      <mc:Fallback>
        <control shapeId="1025" r:id="rId4" name="TABELBARA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Q11"/>
  <sheetViews>
    <sheetView showGridLines="0" workbookViewId="0">
      <selection activeCell="B7" sqref="B7"/>
    </sheetView>
  </sheetViews>
  <sheetFormatPr defaultRowHeight="14.5" x14ac:dyDescent="0.35"/>
  <cols>
    <col min="1" max="1" width="5.1796875" style="1" customWidth="1"/>
    <col min="2" max="2" width="9.81640625" customWidth="1"/>
    <col min="3" max="3" width="19.1796875" customWidth="1"/>
    <col min="4" max="4" width="12.54296875" customWidth="1"/>
    <col min="6" max="6" width="13.36328125" style="16" customWidth="1"/>
    <col min="7" max="7" width="11" style="1" customWidth="1"/>
    <col min="9" max="9" width="12.81640625" customWidth="1"/>
  </cols>
  <sheetData>
    <row r="3" spans="1:17" ht="15" thickBot="1" x14ac:dyDescent="0.4">
      <c r="A3" s="5" t="s">
        <v>0</v>
      </c>
      <c r="B3" s="6" t="s">
        <v>15</v>
      </c>
      <c r="C3" s="6" t="s">
        <v>16</v>
      </c>
      <c r="D3" s="6" t="s">
        <v>17</v>
      </c>
      <c r="E3" s="6" t="s">
        <v>18</v>
      </c>
      <c r="F3" s="15" t="s">
        <v>3</v>
      </c>
      <c r="G3" s="5" t="s">
        <v>1</v>
      </c>
      <c r="I3" s="3" t="s">
        <v>1</v>
      </c>
      <c r="K3" s="5" t="s">
        <v>0</v>
      </c>
      <c r="L3" s="6" t="s">
        <v>15</v>
      </c>
      <c r="M3" s="6" t="s">
        <v>16</v>
      </c>
      <c r="N3" s="6" t="s">
        <v>17</v>
      </c>
      <c r="O3" s="6" t="s">
        <v>18</v>
      </c>
      <c r="P3" s="15" t="s">
        <v>3</v>
      </c>
      <c r="Q3" s="5" t="s">
        <v>1</v>
      </c>
    </row>
    <row r="4" spans="1:17" x14ac:dyDescent="0.35">
      <c r="A4" s="1">
        <f>ROW()-ROW(MASTERKAIN!$A$3)</f>
        <v>1</v>
      </c>
      <c r="B4" t="s">
        <v>24</v>
      </c>
      <c r="C4" t="s">
        <v>25</v>
      </c>
      <c r="D4" t="s">
        <v>26</v>
      </c>
      <c r="E4" t="s">
        <v>20</v>
      </c>
      <c r="F4" s="16" t="s">
        <v>27</v>
      </c>
      <c r="G4" s="1">
        <v>50</v>
      </c>
      <c r="I4" t="str">
        <f>"&lt;"&amp;MENU!$J$31</f>
        <v>&lt;400</v>
      </c>
      <c r="K4" s="1">
        <v>1</v>
      </c>
      <c r="L4" t="s">
        <v>24</v>
      </c>
      <c r="M4" t="s">
        <v>25</v>
      </c>
      <c r="N4" t="s">
        <v>26</v>
      </c>
      <c r="O4" t="s">
        <v>20</v>
      </c>
      <c r="P4" s="16" t="s">
        <v>27</v>
      </c>
      <c r="Q4" s="1">
        <v>50</v>
      </c>
    </row>
    <row r="5" spans="1:17" x14ac:dyDescent="0.35">
      <c r="A5" s="1">
        <f>ROW()-ROW(MASTERKAIN!$A$3)</f>
        <v>2</v>
      </c>
      <c r="B5" t="s">
        <v>21</v>
      </c>
      <c r="C5" t="s">
        <v>25</v>
      </c>
      <c r="D5" t="s">
        <v>28</v>
      </c>
      <c r="E5" t="s">
        <v>20</v>
      </c>
      <c r="F5" s="17">
        <v>44907</v>
      </c>
      <c r="G5" s="1">
        <v>60</v>
      </c>
      <c r="K5" s="1">
        <v>2</v>
      </c>
      <c r="L5" t="s">
        <v>21</v>
      </c>
      <c r="M5" t="s">
        <v>25</v>
      </c>
      <c r="N5" t="s">
        <v>28</v>
      </c>
      <c r="O5" t="s">
        <v>20</v>
      </c>
      <c r="P5" s="17">
        <v>44907</v>
      </c>
      <c r="Q5" s="1">
        <v>60</v>
      </c>
    </row>
    <row r="6" spans="1:17" x14ac:dyDescent="0.35">
      <c r="A6" s="1">
        <f>ROW()-ROW(MASTERKAIN!$A$3)</f>
        <v>3</v>
      </c>
      <c r="B6" t="s">
        <v>29</v>
      </c>
      <c r="C6" t="s">
        <v>30</v>
      </c>
      <c r="D6" t="s">
        <v>31</v>
      </c>
      <c r="E6" t="s">
        <v>32</v>
      </c>
      <c r="F6" s="16" t="s">
        <v>33</v>
      </c>
      <c r="G6" s="1">
        <v>100</v>
      </c>
      <c r="K6" s="1">
        <v>3</v>
      </c>
      <c r="L6" t="s">
        <v>29</v>
      </c>
      <c r="M6" t="s">
        <v>30</v>
      </c>
      <c r="N6" t="s">
        <v>31</v>
      </c>
      <c r="O6" t="s">
        <v>32</v>
      </c>
      <c r="P6" s="16" t="s">
        <v>33</v>
      </c>
      <c r="Q6" s="1">
        <v>100</v>
      </c>
    </row>
    <row r="7" spans="1:17" x14ac:dyDescent="0.35">
      <c r="A7" s="1">
        <f>ROW()-ROW(MASTERKAIN!$A$3)</f>
        <v>4</v>
      </c>
      <c r="B7" t="s">
        <v>38</v>
      </c>
      <c r="C7" t="s">
        <v>39</v>
      </c>
      <c r="D7" t="s">
        <v>40</v>
      </c>
      <c r="E7" t="s">
        <v>41</v>
      </c>
      <c r="F7" s="16" t="s">
        <v>42</v>
      </c>
      <c r="G7" s="1">
        <v>300</v>
      </c>
      <c r="K7" s="1">
        <v>4</v>
      </c>
      <c r="L7" t="s">
        <v>38</v>
      </c>
      <c r="M7" t="s">
        <v>39</v>
      </c>
      <c r="N7" t="s">
        <v>40</v>
      </c>
      <c r="O7" t="s">
        <v>41</v>
      </c>
      <c r="P7" s="16" t="s">
        <v>42</v>
      </c>
      <c r="Q7" s="1">
        <v>300</v>
      </c>
    </row>
    <row r="8" spans="1:17" x14ac:dyDescent="0.35">
      <c r="A8" s="1">
        <f>ROW()-ROW(MASTERKAIN!$A$3)</f>
        <v>5</v>
      </c>
      <c r="B8" t="s">
        <v>43</v>
      </c>
      <c r="C8" t="s">
        <v>44</v>
      </c>
      <c r="D8" t="s">
        <v>45</v>
      </c>
      <c r="E8" t="s">
        <v>20</v>
      </c>
      <c r="F8" s="17">
        <v>45261</v>
      </c>
      <c r="G8" s="1">
        <v>100</v>
      </c>
      <c r="K8" s="1">
        <v>5</v>
      </c>
      <c r="L8" t="s">
        <v>43</v>
      </c>
      <c r="M8" t="s">
        <v>44</v>
      </c>
      <c r="N8" t="s">
        <v>45</v>
      </c>
      <c r="O8" t="s">
        <v>20</v>
      </c>
      <c r="P8" s="17">
        <v>45261</v>
      </c>
      <c r="Q8" s="1">
        <v>100</v>
      </c>
    </row>
    <row r="9" spans="1:17" x14ac:dyDescent="0.35">
      <c r="A9" s="1">
        <f>ROW()-ROW(MASTERKAIN!$A$3)</f>
        <v>6</v>
      </c>
      <c r="B9" t="s">
        <v>46</v>
      </c>
      <c r="C9" t="s">
        <v>47</v>
      </c>
      <c r="D9" t="s">
        <v>48</v>
      </c>
      <c r="E9" t="s">
        <v>41</v>
      </c>
      <c r="F9" s="16" t="s">
        <v>49</v>
      </c>
      <c r="G9" s="1">
        <v>50</v>
      </c>
      <c r="K9" s="1">
        <v>6</v>
      </c>
      <c r="L9" t="s">
        <v>46</v>
      </c>
      <c r="M9" t="s">
        <v>47</v>
      </c>
      <c r="N9" t="s">
        <v>48</v>
      </c>
      <c r="O9" t="s">
        <v>41</v>
      </c>
      <c r="P9" s="16" t="s">
        <v>49</v>
      </c>
      <c r="Q9" s="1">
        <v>50</v>
      </c>
    </row>
    <row r="10" spans="1:17" x14ac:dyDescent="0.35">
      <c r="A10" s="1">
        <f>ROW()-ROW(MASTERKAIN!$A$3)</f>
        <v>7</v>
      </c>
      <c r="B10" t="s">
        <v>50</v>
      </c>
      <c r="C10" t="s">
        <v>51</v>
      </c>
      <c r="D10" t="s">
        <v>48</v>
      </c>
      <c r="E10" t="s">
        <v>41</v>
      </c>
      <c r="F10" s="17">
        <v>44958</v>
      </c>
      <c r="G10" s="1">
        <v>90</v>
      </c>
      <c r="K10" s="1">
        <v>7</v>
      </c>
      <c r="L10" t="s">
        <v>50</v>
      </c>
      <c r="M10" t="s">
        <v>51</v>
      </c>
      <c r="N10" t="s">
        <v>48</v>
      </c>
      <c r="O10" t="s">
        <v>41</v>
      </c>
      <c r="P10" s="17">
        <v>44958</v>
      </c>
      <c r="Q10" s="1">
        <v>90</v>
      </c>
    </row>
    <row r="11" spans="1:17" x14ac:dyDescent="0.35">
      <c r="A11" s="1">
        <f>ROW()-ROW(MASTERKAIN!$A$3)</f>
        <v>8</v>
      </c>
      <c r="B11" t="s">
        <v>61</v>
      </c>
      <c r="C11" t="s">
        <v>62</v>
      </c>
      <c r="D11" t="s">
        <v>45</v>
      </c>
      <c r="E11" t="s">
        <v>20</v>
      </c>
      <c r="F11" s="16" t="s">
        <v>49</v>
      </c>
      <c r="G11" s="1">
        <v>100</v>
      </c>
      <c r="K11" s="1">
        <v>8</v>
      </c>
      <c r="L11" t="s">
        <v>61</v>
      </c>
      <c r="M11" t="s">
        <v>62</v>
      </c>
      <c r="N11" t="s">
        <v>45</v>
      </c>
      <c r="O11" t="s">
        <v>20</v>
      </c>
      <c r="P11" s="16" t="s">
        <v>49</v>
      </c>
      <c r="Q11" s="1">
        <v>100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3"/>
  <sheetViews>
    <sheetView showGridLines="0" workbookViewId="0">
      <selection activeCell="B10" sqref="A10:H10"/>
    </sheetView>
  </sheetViews>
  <sheetFormatPr defaultRowHeight="14.5" x14ac:dyDescent="0.35"/>
  <cols>
    <col min="1" max="1" width="7.26953125" style="1" customWidth="1"/>
    <col min="2" max="2" width="18.453125" customWidth="1"/>
    <col min="3" max="3" width="12.54296875" customWidth="1"/>
    <col min="4" max="4" width="13.7265625" customWidth="1"/>
    <col min="5" max="5" width="17" customWidth="1"/>
    <col min="6" max="6" width="11.54296875" customWidth="1"/>
    <col min="7" max="7" width="12.26953125" customWidth="1"/>
    <col min="8" max="8" width="17.54296875" style="1" customWidth="1"/>
    <col min="10" max="10" width="14.1796875" customWidth="1"/>
  </cols>
  <sheetData>
    <row r="1" spans="1:10" x14ac:dyDescent="0.35">
      <c r="J1" t="s">
        <v>5</v>
      </c>
    </row>
    <row r="2" spans="1:10" x14ac:dyDescent="0.35">
      <c r="J2" s="2">
        <f>LEN($J$3)</f>
        <v>2</v>
      </c>
    </row>
    <row r="3" spans="1:10" ht="15" thickBot="1" x14ac:dyDescent="0.4">
      <c r="A3" s="5" t="s">
        <v>0</v>
      </c>
      <c r="B3" s="6" t="s">
        <v>2</v>
      </c>
      <c r="C3" s="6" t="s">
        <v>3</v>
      </c>
      <c r="D3" s="6" t="s">
        <v>15</v>
      </c>
      <c r="E3" s="6" t="s">
        <v>16</v>
      </c>
      <c r="F3" s="6" t="s">
        <v>17</v>
      </c>
      <c r="G3" s="6" t="s">
        <v>18</v>
      </c>
      <c r="H3" s="5" t="s">
        <v>4</v>
      </c>
      <c r="J3" s="2">
        <v>15</v>
      </c>
    </row>
    <row r="4" spans="1:10" x14ac:dyDescent="0.35">
      <c r="A4" s="1">
        <f>ROW()-ROW(KAINMASUK!$A$3)</f>
        <v>1</v>
      </c>
      <c r="B4" t="s">
        <v>52</v>
      </c>
      <c r="C4" s="4">
        <v>44927</v>
      </c>
      <c r="D4" t="s">
        <v>24</v>
      </c>
      <c r="E4" t="s">
        <v>25</v>
      </c>
      <c r="F4" t="s">
        <v>26</v>
      </c>
      <c r="G4" t="s">
        <v>20</v>
      </c>
      <c r="H4" s="1">
        <v>100</v>
      </c>
    </row>
    <row r="5" spans="1:10" x14ac:dyDescent="0.35">
      <c r="A5" s="1">
        <f>ROW()-ROW(KAINMASUK!$A$3)</f>
        <v>2</v>
      </c>
      <c r="B5" t="s">
        <v>53</v>
      </c>
      <c r="C5" s="4">
        <v>44928</v>
      </c>
      <c r="D5" t="s">
        <v>21</v>
      </c>
      <c r="E5" t="s">
        <v>25</v>
      </c>
      <c r="F5" t="s">
        <v>28</v>
      </c>
      <c r="G5" t="s">
        <v>20</v>
      </c>
      <c r="H5" s="1">
        <v>150</v>
      </c>
    </row>
    <row r="6" spans="1:10" x14ac:dyDescent="0.35">
      <c r="A6" s="1">
        <f>ROW()-ROW(KAINMASUK!$A$3)</f>
        <v>3</v>
      </c>
      <c r="B6" t="s">
        <v>54</v>
      </c>
      <c r="C6" s="4">
        <v>44928</v>
      </c>
      <c r="D6" t="s">
        <v>29</v>
      </c>
      <c r="E6" t="s">
        <v>30</v>
      </c>
      <c r="F6" t="s">
        <v>31</v>
      </c>
      <c r="G6" t="s">
        <v>32</v>
      </c>
      <c r="H6" s="1">
        <v>200</v>
      </c>
    </row>
    <row r="7" spans="1:10" x14ac:dyDescent="0.35">
      <c r="A7" s="1">
        <f>ROW()-ROW(KAINMASUK!$A$3)</f>
        <v>4</v>
      </c>
      <c r="B7" t="s">
        <v>55</v>
      </c>
      <c r="C7" s="4">
        <v>44930</v>
      </c>
      <c r="D7" t="s">
        <v>34</v>
      </c>
      <c r="E7" t="s">
        <v>35</v>
      </c>
      <c r="F7" t="s">
        <v>36</v>
      </c>
      <c r="G7" t="s">
        <v>37</v>
      </c>
      <c r="H7" s="1">
        <v>90</v>
      </c>
    </row>
    <row r="8" spans="1:10" x14ac:dyDescent="0.35">
      <c r="A8" s="1">
        <f>ROW()-ROW(KAINMASUK!$A$3)</f>
        <v>5</v>
      </c>
      <c r="B8" t="s">
        <v>56</v>
      </c>
      <c r="C8" s="4">
        <v>44932</v>
      </c>
      <c r="D8" t="s">
        <v>38</v>
      </c>
      <c r="E8" t="s">
        <v>39</v>
      </c>
      <c r="F8" t="s">
        <v>40</v>
      </c>
      <c r="G8" t="s">
        <v>41</v>
      </c>
      <c r="H8" s="1">
        <v>100</v>
      </c>
    </row>
    <row r="9" spans="1:10" x14ac:dyDescent="0.35">
      <c r="A9" s="1">
        <f>ROW()-ROW(KAINMASUK!$A$3)</f>
        <v>6</v>
      </c>
      <c r="B9" t="s">
        <v>57</v>
      </c>
      <c r="C9" s="4">
        <v>44935</v>
      </c>
      <c r="D9" t="s">
        <v>43</v>
      </c>
      <c r="E9" t="s">
        <v>44</v>
      </c>
      <c r="F9" t="s">
        <v>45</v>
      </c>
      <c r="G9" t="s">
        <v>20</v>
      </c>
      <c r="H9" s="1">
        <v>190</v>
      </c>
    </row>
    <row r="10" spans="1:10" x14ac:dyDescent="0.35">
      <c r="A10" s="1">
        <f>ROW()-ROW(KAINMASUK!$A$3)</f>
        <v>7</v>
      </c>
      <c r="B10" t="s">
        <v>63</v>
      </c>
      <c r="C10" s="4">
        <v>44949</v>
      </c>
      <c r="D10" t="s">
        <v>61</v>
      </c>
      <c r="E10" t="s">
        <v>62</v>
      </c>
      <c r="F10" t="s">
        <v>45</v>
      </c>
      <c r="G10" t="s">
        <v>20</v>
      </c>
      <c r="H10" s="1">
        <v>150</v>
      </c>
    </row>
    <row r="11" spans="1:10" x14ac:dyDescent="0.35">
      <c r="A11" s="1">
        <f>ROW()-ROW(KAINMASUK!$A$3)</f>
        <v>8</v>
      </c>
      <c r="B11" t="s">
        <v>69</v>
      </c>
      <c r="C11" s="4">
        <v>44947</v>
      </c>
      <c r="D11" t="s">
        <v>50</v>
      </c>
      <c r="E11" t="s">
        <v>51</v>
      </c>
      <c r="F11" t="s">
        <v>48</v>
      </c>
      <c r="G11" t="s">
        <v>41</v>
      </c>
      <c r="H11" s="1">
        <v>100</v>
      </c>
    </row>
    <row r="12" spans="1:10" x14ac:dyDescent="0.35">
      <c r="A12" s="1">
        <f>ROW()-ROW(KAINMASUK!$A$3)</f>
        <v>9</v>
      </c>
      <c r="B12" t="s">
        <v>70</v>
      </c>
      <c r="C12" s="4">
        <v>44947</v>
      </c>
      <c r="D12" t="s">
        <v>38</v>
      </c>
      <c r="E12" t="s">
        <v>39</v>
      </c>
      <c r="F12" t="s">
        <v>40</v>
      </c>
      <c r="G12" t="s">
        <v>41</v>
      </c>
      <c r="H12" s="1">
        <v>300</v>
      </c>
    </row>
    <row r="13" spans="1:10" x14ac:dyDescent="0.35">
      <c r="A13" s="1">
        <f>ROW()-ROW(KAINMASUK!$A$3)</f>
        <v>10</v>
      </c>
      <c r="B13" t="s">
        <v>71</v>
      </c>
      <c r="C13" s="4">
        <v>44947</v>
      </c>
      <c r="D13" t="s">
        <v>46</v>
      </c>
      <c r="E13" t="s">
        <v>47</v>
      </c>
      <c r="F13" t="s">
        <v>48</v>
      </c>
      <c r="G13" t="s">
        <v>41</v>
      </c>
      <c r="H13" s="1">
        <v>50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0"/>
  <sheetViews>
    <sheetView showGridLines="0" workbookViewId="0">
      <selection activeCell="A7" sqref="A7:H7"/>
    </sheetView>
  </sheetViews>
  <sheetFormatPr defaultRowHeight="14.5" x14ac:dyDescent="0.35"/>
  <cols>
    <col min="1" max="1" width="5.7265625" customWidth="1"/>
    <col min="2" max="2" width="14.54296875" customWidth="1"/>
    <col min="3" max="3" width="13.81640625" customWidth="1"/>
    <col min="4" max="4" width="11.1796875" customWidth="1"/>
    <col min="5" max="5" width="16.7265625" customWidth="1"/>
    <col min="6" max="7" width="11.1796875" customWidth="1"/>
    <col min="8" max="8" width="11.81640625" bestFit="1" customWidth="1"/>
    <col min="10" max="10" width="15.453125" customWidth="1"/>
  </cols>
  <sheetData>
    <row r="1" spans="1:10" x14ac:dyDescent="0.35">
      <c r="A1" s="1"/>
      <c r="H1" s="1"/>
      <c r="J1" t="s">
        <v>5</v>
      </c>
    </row>
    <row r="2" spans="1:10" x14ac:dyDescent="0.35">
      <c r="A2" s="1"/>
      <c r="H2" s="1"/>
      <c r="J2" s="2">
        <f>LEN($J$3)</f>
        <v>1</v>
      </c>
    </row>
    <row r="3" spans="1:10" ht="15" thickBot="1" x14ac:dyDescent="0.4">
      <c r="A3" s="5" t="s">
        <v>0</v>
      </c>
      <c r="B3" s="6" t="s">
        <v>2</v>
      </c>
      <c r="C3" s="6" t="s">
        <v>3</v>
      </c>
      <c r="D3" s="6" t="s">
        <v>15</v>
      </c>
      <c r="E3" s="6" t="s">
        <v>16</v>
      </c>
      <c r="F3" s="6" t="s">
        <v>17</v>
      </c>
      <c r="G3" s="6" t="s">
        <v>18</v>
      </c>
      <c r="H3" s="5" t="s">
        <v>65</v>
      </c>
      <c r="J3" s="2">
        <v>8</v>
      </c>
    </row>
    <row r="4" spans="1:10" x14ac:dyDescent="0.35">
      <c r="A4">
        <f>ROW()-ROW(KAINMASUK!$A$3)</f>
        <v>1</v>
      </c>
      <c r="B4" t="s">
        <v>22</v>
      </c>
      <c r="C4" s="4">
        <v>44929</v>
      </c>
      <c r="D4" t="s">
        <v>24</v>
      </c>
      <c r="E4" t="s">
        <v>25</v>
      </c>
      <c r="F4" t="s">
        <v>26</v>
      </c>
      <c r="G4" t="s">
        <v>20</v>
      </c>
      <c r="H4">
        <v>50</v>
      </c>
    </row>
    <row r="5" spans="1:10" x14ac:dyDescent="0.35">
      <c r="A5">
        <f>ROW()-ROW(KAINMASUK!$A$3)</f>
        <v>2</v>
      </c>
      <c r="B5" t="s">
        <v>23</v>
      </c>
      <c r="C5" s="4">
        <v>44935</v>
      </c>
      <c r="D5" t="s">
        <v>21</v>
      </c>
      <c r="E5" t="s">
        <v>25</v>
      </c>
      <c r="F5" t="s">
        <v>28</v>
      </c>
      <c r="G5" t="s">
        <v>20</v>
      </c>
      <c r="H5">
        <v>90</v>
      </c>
    </row>
    <row r="6" spans="1:10" x14ac:dyDescent="0.35">
      <c r="A6">
        <f>ROW()-ROW(KAINMASUK!$A$3)</f>
        <v>3</v>
      </c>
      <c r="B6" t="s">
        <v>58</v>
      </c>
      <c r="C6" s="4">
        <v>44935</v>
      </c>
      <c r="D6" t="s">
        <v>29</v>
      </c>
      <c r="E6" t="s">
        <v>30</v>
      </c>
      <c r="F6" t="s">
        <v>31</v>
      </c>
      <c r="G6" t="s">
        <v>32</v>
      </c>
      <c r="H6">
        <v>100</v>
      </c>
    </row>
    <row r="7" spans="1:10" x14ac:dyDescent="0.35">
      <c r="A7">
        <f>ROW()-ROW(KAINMASUK!$A$3)</f>
        <v>4</v>
      </c>
      <c r="B7" t="s">
        <v>59</v>
      </c>
      <c r="C7" s="4">
        <v>44936</v>
      </c>
      <c r="D7" t="s">
        <v>38</v>
      </c>
      <c r="E7" t="s">
        <v>39</v>
      </c>
      <c r="F7" t="s">
        <v>40</v>
      </c>
      <c r="G7" t="s">
        <v>41</v>
      </c>
      <c r="H7">
        <v>100</v>
      </c>
    </row>
    <row r="8" spans="1:10" x14ac:dyDescent="0.35">
      <c r="A8">
        <f>ROW()-ROW(KAINMASUK!$A$3)</f>
        <v>5</v>
      </c>
      <c r="B8" t="s">
        <v>60</v>
      </c>
      <c r="C8" s="4">
        <v>44935</v>
      </c>
      <c r="D8" t="s">
        <v>43</v>
      </c>
      <c r="E8" t="s">
        <v>44</v>
      </c>
      <c r="F8" t="s">
        <v>45</v>
      </c>
      <c r="G8" t="s">
        <v>20</v>
      </c>
      <c r="H8">
        <v>90</v>
      </c>
    </row>
    <row r="9" spans="1:10" x14ac:dyDescent="0.35">
      <c r="A9">
        <f>ROW()-ROW(KAINMASUK!$A$3)</f>
        <v>6</v>
      </c>
      <c r="B9" t="s">
        <v>64</v>
      </c>
      <c r="C9" s="4">
        <v>44947</v>
      </c>
      <c r="D9" t="s">
        <v>61</v>
      </c>
      <c r="E9" t="s">
        <v>62</v>
      </c>
      <c r="F9" t="s">
        <v>45</v>
      </c>
      <c r="G9" t="s">
        <v>20</v>
      </c>
      <c r="H9">
        <v>50</v>
      </c>
    </row>
    <row r="10" spans="1:10" x14ac:dyDescent="0.35">
      <c r="A10">
        <f>ROW()-ROW(KAINMASUK!$A$3)</f>
        <v>7</v>
      </c>
      <c r="B10" t="s">
        <v>66</v>
      </c>
      <c r="C10" s="4">
        <v>44947</v>
      </c>
      <c r="D10" t="s">
        <v>50</v>
      </c>
      <c r="E10" t="s">
        <v>51</v>
      </c>
      <c r="F10" t="s">
        <v>48</v>
      </c>
      <c r="G10" t="s">
        <v>41</v>
      </c>
      <c r="H1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9"/>
  <sheetViews>
    <sheetView showGridLines="0" workbookViewId="0">
      <selection activeCell="A2" sqref="A2:G4"/>
    </sheetView>
  </sheetViews>
  <sheetFormatPr defaultRowHeight="14.5" x14ac:dyDescent="0.35"/>
  <cols>
    <col min="2" max="7" width="16" customWidth="1"/>
  </cols>
  <sheetData>
    <row r="1" spans="1:9" ht="15" thickBot="1" x14ac:dyDescent="0.4">
      <c r="A1" s="5" t="s">
        <v>0</v>
      </c>
      <c r="B1" s="6" t="s">
        <v>15</v>
      </c>
      <c r="C1" s="6" t="s">
        <v>16</v>
      </c>
      <c r="D1" s="6" t="s">
        <v>17</v>
      </c>
      <c r="E1" s="6" t="s">
        <v>18</v>
      </c>
      <c r="F1" s="15" t="s">
        <v>3</v>
      </c>
      <c r="G1" s="5" t="s">
        <v>1</v>
      </c>
      <c r="I1" t="s">
        <v>15</v>
      </c>
    </row>
    <row r="2" spans="1:9" x14ac:dyDescent="0.35">
      <c r="A2" s="1">
        <v>2</v>
      </c>
      <c r="B2" t="s">
        <v>21</v>
      </c>
      <c r="C2" t="s">
        <v>25</v>
      </c>
      <c r="D2" t="s">
        <v>28</v>
      </c>
      <c r="E2" t="s">
        <v>20</v>
      </c>
      <c r="F2" s="17">
        <v>44907</v>
      </c>
      <c r="G2" s="1">
        <v>60</v>
      </c>
      <c r="I2" t="s">
        <v>73</v>
      </c>
    </row>
    <row r="3" spans="1:9" x14ac:dyDescent="0.35">
      <c r="A3" s="1">
        <v>3</v>
      </c>
      <c r="B3" t="s">
        <v>29</v>
      </c>
      <c r="C3" t="s">
        <v>30</v>
      </c>
      <c r="D3" t="s">
        <v>31</v>
      </c>
      <c r="E3" t="s">
        <v>32</v>
      </c>
      <c r="F3" s="16" t="s">
        <v>33</v>
      </c>
      <c r="G3" s="1">
        <v>100</v>
      </c>
    </row>
    <row r="4" spans="1:9" x14ac:dyDescent="0.35">
      <c r="A4" s="1">
        <v>5</v>
      </c>
      <c r="B4" t="s">
        <v>43</v>
      </c>
      <c r="C4" t="s">
        <v>44</v>
      </c>
      <c r="D4" t="s">
        <v>45</v>
      </c>
      <c r="E4" t="s">
        <v>20</v>
      </c>
      <c r="F4" s="17">
        <v>45261</v>
      </c>
      <c r="G4" s="1">
        <v>100</v>
      </c>
    </row>
    <row r="5" spans="1:9" x14ac:dyDescent="0.35">
      <c r="A5" s="1">
        <v>6</v>
      </c>
      <c r="B5" t="s">
        <v>46</v>
      </c>
      <c r="C5" t="s">
        <v>47</v>
      </c>
      <c r="D5" t="s">
        <v>48</v>
      </c>
      <c r="E5" t="s">
        <v>41</v>
      </c>
      <c r="F5" s="16" t="s">
        <v>49</v>
      </c>
      <c r="G5" s="1">
        <v>50</v>
      </c>
    </row>
    <row r="6" spans="1:9" x14ac:dyDescent="0.35">
      <c r="A6" s="1">
        <v>8</v>
      </c>
      <c r="B6" t="s">
        <v>61</v>
      </c>
      <c r="C6" t="s">
        <v>62</v>
      </c>
      <c r="D6" t="s">
        <v>45</v>
      </c>
      <c r="E6" t="s">
        <v>20</v>
      </c>
      <c r="F6" s="16" t="s">
        <v>49</v>
      </c>
      <c r="G6" s="1">
        <v>50</v>
      </c>
    </row>
    <row r="7" spans="1:9" x14ac:dyDescent="0.35">
      <c r="A7" s="1"/>
      <c r="F7" s="16"/>
      <c r="G7" s="1"/>
    </row>
    <row r="8" spans="1:9" x14ac:dyDescent="0.35">
      <c r="A8" s="1"/>
      <c r="F8" s="17"/>
      <c r="G8" s="1"/>
    </row>
    <row r="9" spans="1:9" x14ac:dyDescent="0.35">
      <c r="A9" s="1"/>
      <c r="F9" s="16"/>
      <c r="G9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9"/>
  <sheetViews>
    <sheetView workbookViewId="0">
      <selection activeCell="G22" sqref="G22"/>
    </sheetView>
  </sheetViews>
  <sheetFormatPr defaultRowHeight="14.5" x14ac:dyDescent="0.35"/>
  <cols>
    <col min="1" max="1" width="6.54296875" customWidth="1"/>
    <col min="2" max="5" width="14.453125" customWidth="1"/>
    <col min="6" max="6" width="9.26953125" customWidth="1"/>
    <col min="7" max="7" width="14.453125" customWidth="1"/>
    <col min="8" max="8" width="11.54296875" customWidth="1"/>
    <col min="10" max="10" width="11" bestFit="1" customWidth="1"/>
    <col min="12" max="13" width="13" bestFit="1" customWidth="1"/>
  </cols>
  <sheetData>
    <row r="1" spans="1:13" ht="15" thickBot="1" x14ac:dyDescent="0.4">
      <c r="A1" s="5" t="s">
        <v>0</v>
      </c>
      <c r="B1" s="6" t="s">
        <v>2</v>
      </c>
      <c r="C1" s="6" t="s">
        <v>3</v>
      </c>
      <c r="D1" s="6" t="s">
        <v>15</v>
      </c>
      <c r="E1" s="6" t="s">
        <v>16</v>
      </c>
      <c r="F1" s="6" t="s">
        <v>17</v>
      </c>
      <c r="G1" s="6" t="s">
        <v>18</v>
      </c>
      <c r="H1" s="5" t="s">
        <v>4</v>
      </c>
      <c r="J1" t="s">
        <v>15</v>
      </c>
      <c r="L1" t="s">
        <v>3</v>
      </c>
      <c r="M1" t="s">
        <v>3</v>
      </c>
    </row>
    <row r="2" spans="1:13" x14ac:dyDescent="0.35">
      <c r="A2" s="1">
        <v>8</v>
      </c>
      <c r="B2" t="s">
        <v>69</v>
      </c>
      <c r="C2" s="4">
        <v>44947</v>
      </c>
      <c r="D2" t="s">
        <v>50</v>
      </c>
      <c r="E2" t="s">
        <v>51</v>
      </c>
      <c r="F2" t="s">
        <v>48</v>
      </c>
      <c r="G2" t="s">
        <v>41</v>
      </c>
      <c r="H2" s="1">
        <v>100</v>
      </c>
      <c r="J2" t="s">
        <v>72</v>
      </c>
      <c r="L2" t="s">
        <v>67</v>
      </c>
      <c r="M2" t="s">
        <v>68</v>
      </c>
    </row>
    <row r="3" spans="1:13" x14ac:dyDescent="0.35">
      <c r="A3" s="1">
        <v>9</v>
      </c>
      <c r="B3" t="s">
        <v>70</v>
      </c>
      <c r="C3" s="4">
        <v>44947</v>
      </c>
      <c r="D3" t="s">
        <v>38</v>
      </c>
      <c r="E3" t="s">
        <v>39</v>
      </c>
      <c r="F3" t="s">
        <v>40</v>
      </c>
      <c r="G3" t="s">
        <v>41</v>
      </c>
      <c r="H3" s="1">
        <v>300</v>
      </c>
    </row>
    <row r="4" spans="1:13" x14ac:dyDescent="0.35">
      <c r="A4" s="1">
        <v>10</v>
      </c>
      <c r="B4" t="s">
        <v>71</v>
      </c>
      <c r="C4" s="4">
        <v>44947</v>
      </c>
      <c r="D4" t="s">
        <v>46</v>
      </c>
      <c r="E4" t="s">
        <v>47</v>
      </c>
      <c r="F4" t="s">
        <v>48</v>
      </c>
      <c r="G4" t="s">
        <v>41</v>
      </c>
      <c r="H4" s="1">
        <v>50</v>
      </c>
    </row>
    <row r="5" spans="1:13" x14ac:dyDescent="0.35">
      <c r="A5" s="1"/>
      <c r="C5" s="4"/>
      <c r="H5" s="1"/>
    </row>
    <row r="6" spans="1:13" x14ac:dyDescent="0.35">
      <c r="A6" s="1"/>
      <c r="C6" s="4"/>
      <c r="H6" s="1"/>
    </row>
    <row r="7" spans="1:13" x14ac:dyDescent="0.35">
      <c r="A7" s="1"/>
      <c r="C7" s="4"/>
      <c r="H7" s="1"/>
    </row>
    <row r="8" spans="1:13" x14ac:dyDescent="0.35">
      <c r="A8" s="1"/>
      <c r="C8" s="4"/>
      <c r="H8" s="1"/>
    </row>
    <row r="9" spans="1:13" x14ac:dyDescent="0.35">
      <c r="A9" s="1"/>
      <c r="C9" s="4"/>
      <c r="H9" s="1"/>
    </row>
  </sheetData>
  <pageMargins left="0.14000000000000001" right="0.2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"/>
  <sheetViews>
    <sheetView showGridLines="0" workbookViewId="0">
      <selection activeCell="K6" sqref="K6"/>
    </sheetView>
  </sheetViews>
  <sheetFormatPr defaultRowHeight="14.5" x14ac:dyDescent="0.35"/>
  <cols>
    <col min="1" max="1" width="5.54296875" style="7" customWidth="1"/>
    <col min="2" max="2" width="12.453125" customWidth="1"/>
    <col min="3" max="3" width="11.81640625" customWidth="1"/>
    <col min="4" max="4" width="13" customWidth="1"/>
    <col min="5" max="5" width="18.81640625" customWidth="1"/>
    <col min="6" max="6" width="8.54296875" customWidth="1"/>
    <col min="7" max="7" width="11.81640625" customWidth="1"/>
    <col min="8" max="8" width="11.7265625" bestFit="1" customWidth="1"/>
  </cols>
  <sheetData>
    <row r="1" spans="1:13" ht="15" thickBot="1" x14ac:dyDescent="0.4">
      <c r="A1" s="5" t="s">
        <v>0</v>
      </c>
      <c r="B1" s="6" t="s">
        <v>2</v>
      </c>
      <c r="C1" s="6" t="s">
        <v>3</v>
      </c>
      <c r="D1" s="6" t="s">
        <v>15</v>
      </c>
      <c r="E1" s="6" t="s">
        <v>16</v>
      </c>
      <c r="F1" s="6" t="s">
        <v>17</v>
      </c>
      <c r="G1" s="6" t="s">
        <v>18</v>
      </c>
      <c r="H1" s="5" t="s">
        <v>65</v>
      </c>
      <c r="J1" t="s">
        <v>15</v>
      </c>
      <c r="L1" s="6" t="s">
        <v>3</v>
      </c>
      <c r="M1" s="6" t="s">
        <v>3</v>
      </c>
    </row>
    <row r="2" spans="1:13" x14ac:dyDescent="0.35">
      <c r="A2">
        <v>1</v>
      </c>
      <c r="B2" t="s">
        <v>22</v>
      </c>
      <c r="C2" s="4">
        <v>44929</v>
      </c>
      <c r="D2" t="s">
        <v>24</v>
      </c>
      <c r="E2" t="s">
        <v>25</v>
      </c>
      <c r="F2" t="s">
        <v>26</v>
      </c>
      <c r="G2" t="s">
        <v>20</v>
      </c>
      <c r="H2">
        <v>50</v>
      </c>
      <c r="J2" t="s">
        <v>72</v>
      </c>
      <c r="L2" t="s">
        <v>67</v>
      </c>
      <c r="M2" t="s">
        <v>68</v>
      </c>
    </row>
    <row r="3" spans="1:13" x14ac:dyDescent="0.35">
      <c r="A3"/>
      <c r="C3" s="4"/>
    </row>
    <row r="4" spans="1:13" x14ac:dyDescent="0.35">
      <c r="A4"/>
      <c r="C4" s="4"/>
    </row>
    <row r="5" spans="1:13" x14ac:dyDescent="0.35">
      <c r="A5"/>
      <c r="C5" s="4"/>
    </row>
    <row r="6" spans="1:13" x14ac:dyDescent="0.35">
      <c r="A6"/>
      <c r="C6" s="4"/>
    </row>
    <row r="7" spans="1:13" x14ac:dyDescent="0.35">
      <c r="A7"/>
      <c r="C7" s="4"/>
    </row>
    <row r="8" spans="1:13" x14ac:dyDescent="0.35">
      <c r="A8"/>
      <c r="C8" s="4"/>
    </row>
  </sheetData>
  <pageMargins left="0.35" right="0.24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MENU</vt:lpstr>
      <vt:lpstr>MASTERKAIN</vt:lpstr>
      <vt:lpstr>KAINMASUK</vt:lpstr>
      <vt:lpstr>KAINKELUAR</vt:lpstr>
      <vt:lpstr>CARIKAIN</vt:lpstr>
      <vt:lpstr>LAPORANMASUK</vt:lpstr>
      <vt:lpstr>LAPORANKELUAR</vt:lpstr>
      <vt:lpstr>CARIKAIN!Criteria</vt:lpstr>
      <vt:lpstr>LAPORANKELUAR!Criteria</vt:lpstr>
      <vt:lpstr>LAPORANMASUK!Criteria</vt:lpstr>
      <vt:lpstr>MASTERKAIN!Criteria</vt:lpstr>
      <vt:lpstr>CARIKAIN!Extract</vt:lpstr>
      <vt:lpstr>LAPORANKELUAR!Extract</vt:lpstr>
      <vt:lpstr>LAPORANMASUK!Extract</vt:lpstr>
      <vt:lpstr>MASTERKAIN!Extract</vt:lpstr>
      <vt:lpstr>LAPORANKELUAR!Print_Area</vt:lpstr>
      <vt:lpstr>LAPORANMASUK!Print_Area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ASUS</cp:lastModifiedBy>
  <cp:lastPrinted>2023-02-06T12:53:35Z</cp:lastPrinted>
  <dcterms:created xsi:type="dcterms:W3CDTF">2021-04-23T01:17:04Z</dcterms:created>
  <dcterms:modified xsi:type="dcterms:W3CDTF">2023-02-06T12:53:51Z</dcterms:modified>
</cp:coreProperties>
</file>